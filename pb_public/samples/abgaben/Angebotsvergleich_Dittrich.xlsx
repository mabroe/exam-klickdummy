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Angebotsvergleich – Fenja Dittrich</t>
        </is>
      </c>
    </row>
    <row r="3">
      <c r="A3" s="2" t="inlineStr">
        <is>
          <t>Position</t>
        </is>
      </c>
      <c r="B3" s="2" t="inlineStr">
        <is>
          <t>BatteryWorld GmbH</t>
        </is>
      </c>
      <c r="C3" s="2" t="inlineStr">
        <is>
          <t>InnovaTech GmbH</t>
        </is>
      </c>
      <c r="D3" s="2" t="inlineStr">
        <is>
          <t>Formel (Spalte B)</t>
        </is>
      </c>
    </row>
    <row r="4">
      <c r="A4" s="3" t="inlineStr">
        <is>
          <t>Listeneinkaufspreis</t>
        </is>
      </c>
      <c r="B4" s="4" t="n">
        <v>34500</v>
      </c>
      <c r="C4" s="4" t="n">
        <v>33900</v>
      </c>
      <c r="D4" s="3" t="inlineStr">
        <is>
          <t>Wert</t>
        </is>
      </c>
    </row>
    <row r="5">
      <c r="A5" s="3" t="inlineStr">
        <is>
          <t>– Rabatt</t>
        </is>
      </c>
      <c r="B5" s="4" t="n">
        <v>2760</v>
      </c>
      <c r="C5" s="4" t="n">
        <v>1695</v>
      </c>
      <c r="D5" s="3" t="inlineStr">
        <is>
          <t>Formel: B4*8%</t>
        </is>
      </c>
    </row>
    <row r="6">
      <c r="A6" s="3">
        <f> Zieleinkaufspreis</f>
        <v/>
      </c>
      <c r="B6" s="4" t="n">
        <v>31740</v>
      </c>
      <c r="C6" s="4" t="n">
        <v>32205</v>
      </c>
      <c r="D6" s="3" t="inlineStr">
        <is>
          <t>Formel: B4-B5</t>
        </is>
      </c>
    </row>
    <row r="7">
      <c r="A7" s="3" t="inlineStr">
        <is>
          <t>– Skonto</t>
        </is>
      </c>
      <c r="B7" s="4" t="n">
        <v>634.8000000000001</v>
      </c>
      <c r="C7" s="4" t="n">
        <v>966.15</v>
      </c>
      <c r="D7" s="3" t="inlineStr">
        <is>
          <t>Formel: B6*2%</t>
        </is>
      </c>
    </row>
    <row r="8">
      <c r="A8" s="3">
        <f> Bareinkaufspreis</f>
        <v/>
      </c>
      <c r="B8" s="4" t="n">
        <v>31105.2</v>
      </c>
      <c r="C8" s="4" t="n">
        <v>31238.85</v>
      </c>
      <c r="D8" s="3" t="inlineStr">
        <is>
          <t>Formel: B6-B7</t>
        </is>
      </c>
    </row>
    <row r="9">
      <c r="A9" s="3" t="inlineStr">
        <is>
          <t>+ Bezugskosten</t>
        </is>
      </c>
      <c r="B9" s="4" t="n">
        <v>450</v>
      </c>
      <c r="C9" s="4" t="n">
        <v>0</v>
      </c>
      <c r="D9" s="3" t="inlineStr">
        <is>
          <t>Wert</t>
        </is>
      </c>
    </row>
    <row r="10">
      <c r="A10" s="3">
        <f> Bezugspreis</f>
        <v/>
      </c>
      <c r="B10" s="4" t="n">
        <v>31555.2</v>
      </c>
      <c r="C10" s="4" t="n">
        <v>31238.85</v>
      </c>
      <c r="D10" s="3" t="inlineStr">
        <is>
          <t>Formel: B8+B9</t>
        </is>
      </c>
    </row>
    <row r="11">
      <c r="A11" s="3" t="inlineStr">
        <is>
          <t>Günstiger</t>
        </is>
      </c>
      <c r="B11" s="3" t="inlineStr">
        <is>
          <t>InnovaTech</t>
        </is>
      </c>
      <c r="C11" s="3" t="inlineStr"/>
      <c r="D11" s="3" t="inlineStr">
        <is>
          <t>Formel: WENN(B10&lt;C10;"BatteryWorld";"InnovaTech")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2026-10-22T14:30:53Z</dcterms:created>
  <dcterms:modified xmlns:dcterms="http://purl.org/dc/terms/" xmlns:xsi="http://www.w3.org/2001/XMLSchema-instance" xsi:type="dcterms:W3CDTF">2026-10-22T14:30:53Z</dcterms:modified>
</cp:coreProperties>
</file>